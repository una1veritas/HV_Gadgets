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/Library/Mobile Documents/com~apple~CloudDocs/Downloads/Datasheets/AppNote/"/>
    </mc:Choice>
  </mc:AlternateContent>
  <xr:revisionPtr revIDLastSave="0" documentId="8_{95B39250-C900-D54F-BB09-DAE43790AB23}" xr6:coauthVersionLast="47" xr6:coauthVersionMax="47" xr10:uidLastSave="{00000000-0000-0000-0000-000000000000}"/>
  <bookViews>
    <workbookView xWindow="2260" yWindow="7200" windowWidth="26360" windowHeight="17360" activeTab="1" xr2:uid="{54F89B29-78F2-7F4D-BE96-ADCD486D8998}"/>
  </bookViews>
  <sheets>
    <sheet name="Sheet1" sheetId="1" r:id="rId1"/>
    <sheet name="MC34063-NJM2360 parameters" sheetId="2" r:id="rId2"/>
  </sheets>
  <definedNames>
    <definedName name="_xlnm._FilterDatabase" localSheetId="0" hidden="1">Sheet1!$B$10:$J$10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2" l="1"/>
  <c r="J6" i="2"/>
  <c r="K5" i="2"/>
  <c r="L5" i="2" s="1"/>
  <c r="K4" i="2"/>
  <c r="J5" i="2"/>
  <c r="J4" i="2"/>
  <c r="L13" i="2"/>
  <c r="L12" i="2"/>
  <c r="M15" i="2"/>
  <c r="L19" i="2" s="1"/>
  <c r="E5" i="2"/>
  <c r="E6" i="2"/>
  <c r="E4" i="2"/>
  <c r="G33" i="1"/>
  <c r="G32" i="1"/>
  <c r="G31" i="1"/>
  <c r="G30" i="1"/>
  <c r="G29" i="1"/>
  <c r="G28" i="1"/>
  <c r="G24" i="1"/>
  <c r="G22" i="1"/>
  <c r="G21" i="1"/>
  <c r="G20" i="1"/>
  <c r="G26" i="1"/>
  <c r="G25" i="1"/>
  <c r="G23" i="1"/>
  <c r="G27" i="1"/>
  <c r="J23" i="1"/>
  <c r="G14" i="1"/>
  <c r="G15" i="1"/>
  <c r="G16" i="1"/>
  <c r="G17" i="1"/>
  <c r="G19" i="1"/>
  <c r="G18" i="1"/>
  <c r="G12" i="1"/>
  <c r="G11" i="1"/>
  <c r="G13" i="1"/>
  <c r="G3" i="1"/>
  <c r="G4" i="1"/>
  <c r="G5" i="1"/>
  <c r="G6" i="1"/>
  <c r="G8" i="1"/>
  <c r="G9" i="1"/>
  <c r="G2" i="1"/>
  <c r="L4" i="2" l="1"/>
  <c r="L6" i="2"/>
  <c r="M19" i="2"/>
</calcChain>
</file>

<file path=xl/sharedStrings.xml><?xml version="1.0" encoding="utf-8"?>
<sst xmlns="http://schemas.openxmlformats.org/spreadsheetml/2006/main" count="79" uniqueCount="47">
  <si>
    <t>Cycle (kHz)</t>
    <phoneticPr fontId="1"/>
  </si>
  <si>
    <t>L (mH)</t>
    <phoneticPr fontId="1"/>
  </si>
  <si>
    <t>Output (V)</t>
    <phoneticPr fontId="1"/>
  </si>
  <si>
    <t>Prescaler</t>
    <phoneticPr fontId="1"/>
  </si>
  <si>
    <t>Duty</t>
    <phoneticPr fontId="1"/>
  </si>
  <si>
    <t>Top</t>
    <phoneticPr fontId="1"/>
  </si>
  <si>
    <t>5V regulator gets too hot</t>
    <phoneticPr fontId="1"/>
  </si>
  <si>
    <t>CPU Vdd</t>
    <phoneticPr fontId="1"/>
  </si>
  <si>
    <t>Coil CVdd</t>
    <phoneticPr fontId="1"/>
  </si>
  <si>
    <t>5c2 zenner (mV)</t>
    <phoneticPr fontId="1"/>
  </si>
  <si>
    <t>Driver</t>
    <phoneticPr fontId="1"/>
  </si>
  <si>
    <t>TK10A60D</t>
    <phoneticPr fontId="1"/>
  </si>
  <si>
    <t>MPSA42, IB=13mA</t>
    <phoneticPr fontId="1"/>
  </si>
  <si>
    <t>MPSA42, IB=13mA, CW 3-diode 3-capacitor</t>
    <phoneticPr fontId="1"/>
  </si>
  <si>
    <t>Output</t>
    <phoneticPr fontId="1"/>
  </si>
  <si>
    <t>V</t>
    <phoneticPr fontId="1"/>
  </si>
  <si>
    <t>mA</t>
    <phoneticPr fontId="1"/>
  </si>
  <si>
    <t>Freq</t>
    <phoneticPr fontId="1"/>
  </si>
  <si>
    <t>Ct</t>
    <phoneticPr fontId="1"/>
  </si>
  <si>
    <t>kHz</t>
    <phoneticPr fontId="1"/>
  </si>
  <si>
    <t>pF</t>
    <phoneticPr fontId="1"/>
  </si>
  <si>
    <t>Inductance</t>
    <phoneticPr fontId="1"/>
  </si>
  <si>
    <t>uH</t>
    <phoneticPr fontId="1"/>
  </si>
  <si>
    <t>MΩ</t>
    <phoneticPr fontId="1"/>
  </si>
  <si>
    <t>kΩ</t>
    <phoneticPr fontId="1"/>
  </si>
  <si>
    <t>A</t>
    <phoneticPr fontId="1"/>
  </si>
  <si>
    <t>Rsc</t>
    <phoneticPr fontId="1"/>
  </si>
  <si>
    <t>Ω</t>
    <phoneticPr fontId="1"/>
  </si>
  <si>
    <t>R2</t>
    <phoneticPr fontId="1"/>
  </si>
  <si>
    <t>R1</t>
    <phoneticPr fontId="1"/>
  </si>
  <si>
    <t>Feed back 1.25V/100nA</t>
    <phoneticPr fontId="1"/>
  </si>
  <si>
    <t>Max</t>
    <phoneticPr fontId="1"/>
  </si>
  <si>
    <t>Input</t>
    <phoneticPr fontId="1"/>
  </si>
  <si>
    <t>Vmin</t>
    <phoneticPr fontId="1"/>
  </si>
  <si>
    <t>Vmax</t>
    <phoneticPr fontId="1"/>
  </si>
  <si>
    <t>R</t>
    <phoneticPr fontId="1"/>
  </si>
  <si>
    <t>VBE1</t>
    <phoneticPr fontId="1"/>
  </si>
  <si>
    <t>IB mA</t>
    <phoneticPr fontId="1"/>
  </si>
  <si>
    <t>RB k</t>
    <phoneticPr fontId="1"/>
  </si>
  <si>
    <t>IC2</t>
    <phoneticPr fontId="1"/>
  </si>
  <si>
    <t>I mA</t>
    <phoneticPr fontId="1"/>
  </si>
  <si>
    <t>Input Current Limit</t>
    <phoneticPr fontId="1"/>
  </si>
  <si>
    <t>Resistor for 0.33V gap</t>
    <phoneticPr fontId="1"/>
  </si>
  <si>
    <t>Vref</t>
    <phoneticPr fontId="1"/>
  </si>
  <si>
    <t>Rp</t>
    <phoneticPr fontId="1"/>
  </si>
  <si>
    <t xml:space="preserve"> </t>
    <phoneticPr fontId="1"/>
  </si>
  <si>
    <t>&lt;= 2.7 (experimental)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</si>
</sst>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7D4B-28BC-B642-927A-BB51EFA5F0D4}">
  <dimension ref="A1:J33"/>
  <sheetViews>
    <sheetView topLeftCell="A13" workbookViewId="0">
      <selection activeCell="J33" sqref="J33"/>
    </sheetView>
  </sheetViews>
  <sheetFormatPr baseColWidth="10" defaultRowHeight="20"/>
  <cols>
    <col min="10" max="10" width="13" bestFit="1" customWidth="1"/>
  </cols>
  <sheetData>
    <row r="1" spans="1:10">
      <c r="B1" t="s">
        <v>7</v>
      </c>
      <c r="C1" t="s">
        <v>8</v>
      </c>
      <c r="D1" t="s">
        <v>3</v>
      </c>
      <c r="E1" t="s">
        <v>5</v>
      </c>
      <c r="F1" t="s">
        <v>4</v>
      </c>
      <c r="G1" t="s">
        <v>0</v>
      </c>
      <c r="H1" t="s">
        <v>1</v>
      </c>
      <c r="I1" t="s">
        <v>2</v>
      </c>
    </row>
    <row r="2" spans="1:10">
      <c r="C2">
        <v>5</v>
      </c>
      <c r="D2">
        <v>32</v>
      </c>
      <c r="E2">
        <v>63</v>
      </c>
      <c r="F2">
        <v>0.75</v>
      </c>
      <c r="G2" s="1">
        <f>16000000/D2/(E2+1)/1000</f>
        <v>7.8125</v>
      </c>
      <c r="H2">
        <v>4.7</v>
      </c>
      <c r="I2">
        <v>298</v>
      </c>
    </row>
    <row r="3" spans="1:10">
      <c r="C3">
        <v>5</v>
      </c>
      <c r="D3">
        <v>32</v>
      </c>
      <c r="E3">
        <v>127</v>
      </c>
      <c r="G3" s="1">
        <f t="shared" ref="G3:G9" si="0">16000000/D3/(E3+1)/1000</f>
        <v>3.90625</v>
      </c>
      <c r="I3">
        <v>257.2</v>
      </c>
    </row>
    <row r="4" spans="1:10">
      <c r="C4">
        <v>5</v>
      </c>
      <c r="D4">
        <v>8</v>
      </c>
      <c r="E4">
        <v>249</v>
      </c>
      <c r="G4" s="1">
        <f t="shared" si="0"/>
        <v>8</v>
      </c>
      <c r="I4">
        <v>308</v>
      </c>
    </row>
    <row r="5" spans="1:10">
      <c r="C5">
        <v>5</v>
      </c>
      <c r="D5">
        <v>8</v>
      </c>
      <c r="E5">
        <v>191</v>
      </c>
      <c r="G5" s="1">
        <f t="shared" si="0"/>
        <v>10.416666666666666</v>
      </c>
      <c r="I5">
        <v>316</v>
      </c>
    </row>
    <row r="6" spans="1:10">
      <c r="C6">
        <v>5</v>
      </c>
      <c r="D6">
        <v>8</v>
      </c>
      <c r="E6">
        <v>159</v>
      </c>
      <c r="G6" s="1">
        <f t="shared" si="0"/>
        <v>12.5</v>
      </c>
      <c r="I6">
        <v>274</v>
      </c>
    </row>
    <row r="7" spans="1:10">
      <c r="G7" s="1"/>
    </row>
    <row r="8" spans="1:10">
      <c r="C8">
        <v>5</v>
      </c>
      <c r="D8">
        <v>8</v>
      </c>
      <c r="E8">
        <v>191</v>
      </c>
      <c r="F8">
        <v>0.66</v>
      </c>
      <c r="G8" s="1">
        <f t="shared" si="0"/>
        <v>10.416666666666666</v>
      </c>
      <c r="H8">
        <v>0.1</v>
      </c>
      <c r="I8">
        <v>184</v>
      </c>
      <c r="J8" t="s">
        <v>6</v>
      </c>
    </row>
    <row r="9" spans="1:10">
      <c r="C9">
        <v>5</v>
      </c>
      <c r="D9">
        <v>8</v>
      </c>
      <c r="E9">
        <v>127</v>
      </c>
      <c r="F9">
        <v>0.66</v>
      </c>
      <c r="G9" s="1">
        <f t="shared" si="0"/>
        <v>15.625</v>
      </c>
      <c r="I9">
        <v>224</v>
      </c>
      <c r="J9" t="s">
        <v>6</v>
      </c>
    </row>
    <row r="10" spans="1:10">
      <c r="A10" t="s">
        <v>10</v>
      </c>
      <c r="B10" t="s">
        <v>7</v>
      </c>
      <c r="C10" t="s">
        <v>8</v>
      </c>
      <c r="D10" t="s">
        <v>3</v>
      </c>
      <c r="E10" t="s">
        <v>5</v>
      </c>
      <c r="F10" t="s">
        <v>4</v>
      </c>
      <c r="G10" t="s">
        <v>0</v>
      </c>
      <c r="H10" t="s">
        <v>1</v>
      </c>
      <c r="I10" t="s">
        <v>2</v>
      </c>
      <c r="J10" t="s">
        <v>9</v>
      </c>
    </row>
    <row r="11" spans="1:10">
      <c r="A11" t="s">
        <v>11</v>
      </c>
      <c r="B11">
        <v>4.82</v>
      </c>
      <c r="C11">
        <v>4.71</v>
      </c>
      <c r="D11">
        <v>0</v>
      </c>
      <c r="E11">
        <v>39</v>
      </c>
      <c r="F11">
        <v>0.5</v>
      </c>
      <c r="G11" s="1">
        <f t="shared" ref="G11:G31" si="1">IF(D11&lt;&gt;0,16000000/D11/(E11+1)/1000,0)</f>
        <v>0</v>
      </c>
      <c r="H11">
        <v>0.1</v>
      </c>
      <c r="I11" s="1">
        <v>4.55</v>
      </c>
    </row>
    <row r="12" spans="1:10">
      <c r="A12" t="s">
        <v>11</v>
      </c>
      <c r="B12">
        <v>4.58</v>
      </c>
      <c r="C12">
        <v>4.29</v>
      </c>
      <c r="D12">
        <v>8</v>
      </c>
      <c r="E12">
        <v>39</v>
      </c>
      <c r="F12">
        <v>0.5</v>
      </c>
      <c r="G12" s="1">
        <f t="shared" si="1"/>
        <v>50</v>
      </c>
      <c r="H12">
        <v>0.1</v>
      </c>
      <c r="I12" s="1">
        <v>363</v>
      </c>
    </row>
    <row r="13" spans="1:10">
      <c r="A13" t="s">
        <v>11</v>
      </c>
      <c r="B13">
        <v>4.0999999999999996</v>
      </c>
      <c r="C13">
        <v>3.7</v>
      </c>
      <c r="D13">
        <v>8</v>
      </c>
      <c r="E13">
        <v>249</v>
      </c>
      <c r="F13">
        <v>0.66</v>
      </c>
      <c r="G13" s="1">
        <f t="shared" si="1"/>
        <v>8</v>
      </c>
      <c r="H13">
        <v>0.1</v>
      </c>
      <c r="I13" s="1">
        <v>285</v>
      </c>
    </row>
    <row r="14" spans="1:10">
      <c r="A14" t="s">
        <v>11</v>
      </c>
      <c r="B14">
        <v>4.0999999999999996</v>
      </c>
      <c r="C14">
        <v>3.7</v>
      </c>
      <c r="D14">
        <v>8</v>
      </c>
      <c r="E14">
        <v>159</v>
      </c>
      <c r="F14">
        <v>0.66</v>
      </c>
      <c r="G14" s="1">
        <f t="shared" si="1"/>
        <v>12.5</v>
      </c>
      <c r="H14">
        <v>0.1</v>
      </c>
      <c r="I14" s="1">
        <v>315</v>
      </c>
    </row>
    <row r="15" spans="1:10">
      <c r="A15" t="s">
        <v>11</v>
      </c>
      <c r="B15">
        <v>4.1500000000000004</v>
      </c>
      <c r="C15">
        <v>3.74</v>
      </c>
      <c r="D15">
        <v>8</v>
      </c>
      <c r="E15">
        <v>127</v>
      </c>
      <c r="F15">
        <v>0.66</v>
      </c>
      <c r="G15" s="1">
        <f t="shared" si="1"/>
        <v>15.625</v>
      </c>
      <c r="H15">
        <v>0.1</v>
      </c>
      <c r="I15" s="1">
        <v>320</v>
      </c>
    </row>
    <row r="16" spans="1:10">
      <c r="A16" t="s">
        <v>11</v>
      </c>
      <c r="B16">
        <v>4.2</v>
      </c>
      <c r="C16">
        <v>3.8</v>
      </c>
      <c r="D16">
        <v>8</v>
      </c>
      <c r="E16">
        <v>63</v>
      </c>
      <c r="F16">
        <v>0.66</v>
      </c>
      <c r="G16" s="1">
        <f t="shared" si="1"/>
        <v>31.25</v>
      </c>
      <c r="H16">
        <v>0.1</v>
      </c>
      <c r="I16" s="1">
        <v>374</v>
      </c>
    </row>
    <row r="17" spans="1:10">
      <c r="A17" t="s">
        <v>11</v>
      </c>
      <c r="B17">
        <v>4.4000000000000004</v>
      </c>
      <c r="C17">
        <v>4.05</v>
      </c>
      <c r="D17">
        <v>8</v>
      </c>
      <c r="E17">
        <v>49</v>
      </c>
      <c r="F17">
        <v>0.66</v>
      </c>
      <c r="G17" s="1">
        <f t="shared" si="1"/>
        <v>40</v>
      </c>
      <c r="H17">
        <v>0.1</v>
      </c>
      <c r="I17" s="1">
        <v>384</v>
      </c>
    </row>
    <row r="18" spans="1:10">
      <c r="A18" t="s">
        <v>11</v>
      </c>
      <c r="B18">
        <v>4.45</v>
      </c>
      <c r="C18">
        <v>4.13</v>
      </c>
      <c r="D18">
        <v>8</v>
      </c>
      <c r="E18">
        <v>39</v>
      </c>
      <c r="F18">
        <v>0.66</v>
      </c>
      <c r="G18" s="1">
        <f t="shared" si="1"/>
        <v>50</v>
      </c>
      <c r="H18">
        <v>0.1</v>
      </c>
      <c r="I18" s="1">
        <v>433</v>
      </c>
    </row>
    <row r="19" spans="1:10">
      <c r="A19" t="s">
        <v>11</v>
      </c>
      <c r="B19">
        <v>4.55</v>
      </c>
      <c r="C19">
        <v>4.2699999999999996</v>
      </c>
      <c r="D19">
        <v>1</v>
      </c>
      <c r="E19">
        <v>249</v>
      </c>
      <c r="F19">
        <v>0.66</v>
      </c>
      <c r="G19" s="1">
        <f t="shared" si="1"/>
        <v>64</v>
      </c>
      <c r="H19">
        <v>0.1</v>
      </c>
      <c r="I19" s="1">
        <v>359</v>
      </c>
    </row>
    <row r="20" spans="1:10">
      <c r="A20" t="s">
        <v>11</v>
      </c>
      <c r="B20">
        <v>4.92</v>
      </c>
      <c r="D20">
        <v>8</v>
      </c>
      <c r="E20">
        <v>82</v>
      </c>
      <c r="F20">
        <v>0.2</v>
      </c>
      <c r="G20" s="1">
        <f t="shared" si="1"/>
        <v>24.096385542168676</v>
      </c>
      <c r="H20">
        <v>0.47</v>
      </c>
      <c r="I20" s="1">
        <v>146.5</v>
      </c>
    </row>
    <row r="21" spans="1:10">
      <c r="A21" t="s">
        <v>11</v>
      </c>
      <c r="B21">
        <v>4.92</v>
      </c>
      <c r="D21">
        <v>8</v>
      </c>
      <c r="E21">
        <v>82</v>
      </c>
      <c r="F21">
        <v>0.25</v>
      </c>
      <c r="G21" s="1">
        <f t="shared" si="1"/>
        <v>24.096385542168676</v>
      </c>
      <c r="H21">
        <v>0.47</v>
      </c>
      <c r="I21" s="1">
        <v>193.1</v>
      </c>
    </row>
    <row r="22" spans="1:10">
      <c r="A22" t="s">
        <v>11</v>
      </c>
      <c r="B22">
        <v>4.92</v>
      </c>
      <c r="D22">
        <v>8</v>
      </c>
      <c r="E22">
        <v>82</v>
      </c>
      <c r="F22">
        <v>0.33</v>
      </c>
      <c r="G22" s="1">
        <f t="shared" si="1"/>
        <v>24.096385542168676</v>
      </c>
      <c r="H22">
        <v>0.47</v>
      </c>
      <c r="I22" s="1">
        <v>256.5</v>
      </c>
    </row>
    <row r="23" spans="1:10">
      <c r="A23" t="s">
        <v>11</v>
      </c>
      <c r="B23">
        <v>4.8600000000000003</v>
      </c>
      <c r="C23">
        <v>4.8600000000000003</v>
      </c>
      <c r="D23">
        <v>8</v>
      </c>
      <c r="E23">
        <v>79</v>
      </c>
      <c r="F23">
        <v>0.33</v>
      </c>
      <c r="G23" s="1">
        <f t="shared" si="1"/>
        <v>25</v>
      </c>
      <c r="H23">
        <v>0.47</v>
      </c>
      <c r="I23" s="1">
        <v>260.5</v>
      </c>
      <c r="J23">
        <f>0.016/159</f>
        <v>1.0062893081761007E-4</v>
      </c>
    </row>
    <row r="24" spans="1:10">
      <c r="A24" t="s">
        <v>11</v>
      </c>
      <c r="B24">
        <v>4.92</v>
      </c>
      <c r="D24">
        <v>8</v>
      </c>
      <c r="E24">
        <v>82</v>
      </c>
      <c r="F24">
        <v>0.4</v>
      </c>
      <c r="G24" s="1">
        <f t="shared" si="1"/>
        <v>24.096385542168676</v>
      </c>
      <c r="H24">
        <v>0.47</v>
      </c>
      <c r="I24" s="1">
        <v>302.5</v>
      </c>
    </row>
    <row r="25" spans="1:10">
      <c r="A25" t="s">
        <v>11</v>
      </c>
      <c r="B25">
        <v>4.8600000000000003</v>
      </c>
      <c r="C25">
        <v>4.8600000000000003</v>
      </c>
      <c r="D25">
        <v>8</v>
      </c>
      <c r="E25">
        <v>79</v>
      </c>
      <c r="F25">
        <v>0.4</v>
      </c>
      <c r="G25" s="1">
        <f t="shared" si="1"/>
        <v>25</v>
      </c>
      <c r="H25">
        <v>0.47</v>
      </c>
      <c r="I25" s="1">
        <v>316.8</v>
      </c>
    </row>
    <row r="26" spans="1:10">
      <c r="A26" t="s">
        <v>11</v>
      </c>
      <c r="B26">
        <v>4.88</v>
      </c>
      <c r="D26">
        <v>8</v>
      </c>
      <c r="E26">
        <v>82</v>
      </c>
      <c r="F26">
        <v>0.5</v>
      </c>
      <c r="G26" s="1">
        <f t="shared" si="1"/>
        <v>24.096385542168676</v>
      </c>
      <c r="H26">
        <v>0.47</v>
      </c>
      <c r="I26" s="1">
        <v>394</v>
      </c>
    </row>
    <row r="27" spans="1:10">
      <c r="A27" t="s">
        <v>11</v>
      </c>
      <c r="B27">
        <v>4.8600000000000003</v>
      </c>
      <c r="C27">
        <v>4.8600000000000003</v>
      </c>
      <c r="D27">
        <v>8</v>
      </c>
      <c r="E27">
        <v>79</v>
      </c>
      <c r="F27">
        <v>0.5</v>
      </c>
      <c r="G27" s="1">
        <f t="shared" si="1"/>
        <v>25</v>
      </c>
      <c r="H27">
        <v>0.47</v>
      </c>
      <c r="I27" s="1">
        <v>395</v>
      </c>
      <c r="J27">
        <v>35</v>
      </c>
    </row>
    <row r="28" spans="1:10">
      <c r="A28" t="s">
        <v>11</v>
      </c>
      <c r="B28">
        <v>4.92</v>
      </c>
      <c r="D28">
        <v>8</v>
      </c>
      <c r="E28">
        <v>82</v>
      </c>
      <c r="F28">
        <v>0.66</v>
      </c>
      <c r="G28" s="1">
        <f t="shared" si="1"/>
        <v>24.096385542168676</v>
      </c>
      <c r="H28">
        <v>0.47</v>
      </c>
      <c r="I28" s="1">
        <v>395</v>
      </c>
    </row>
    <row r="29" spans="1:10">
      <c r="A29" t="s">
        <v>11</v>
      </c>
      <c r="B29">
        <v>4.83</v>
      </c>
      <c r="D29">
        <v>8</v>
      </c>
      <c r="E29">
        <v>82</v>
      </c>
      <c r="F29">
        <v>0.75</v>
      </c>
      <c r="G29" s="1">
        <f t="shared" si="1"/>
        <v>24.096385542168676</v>
      </c>
      <c r="H29">
        <v>0.47</v>
      </c>
      <c r="I29" s="1">
        <v>396</v>
      </c>
    </row>
    <row r="30" spans="1:10">
      <c r="A30" t="s">
        <v>12</v>
      </c>
      <c r="B30">
        <v>5</v>
      </c>
      <c r="C30">
        <v>8.2200000000000006</v>
      </c>
      <c r="D30">
        <v>8</v>
      </c>
      <c r="E30">
        <v>79</v>
      </c>
      <c r="F30">
        <v>0.2</v>
      </c>
      <c r="G30" s="1">
        <f t="shared" si="1"/>
        <v>25</v>
      </c>
      <c r="H30">
        <v>2.2000000000000002</v>
      </c>
      <c r="I30" s="1">
        <v>240</v>
      </c>
    </row>
    <row r="31" spans="1:10">
      <c r="A31" t="s">
        <v>12</v>
      </c>
      <c r="B31">
        <v>5</v>
      </c>
      <c r="C31">
        <v>8.2200000000000006</v>
      </c>
      <c r="D31">
        <v>8</v>
      </c>
      <c r="E31">
        <v>79</v>
      </c>
      <c r="F31">
        <v>0.2</v>
      </c>
      <c r="G31" s="1">
        <f t="shared" si="1"/>
        <v>25</v>
      </c>
      <c r="H31">
        <v>1</v>
      </c>
      <c r="I31" s="1">
        <v>212</v>
      </c>
    </row>
    <row r="32" spans="1:10">
      <c r="A32" t="s">
        <v>12</v>
      </c>
      <c r="B32">
        <v>5</v>
      </c>
      <c r="C32">
        <v>8.2200000000000006</v>
      </c>
      <c r="D32">
        <v>8</v>
      </c>
      <c r="E32">
        <v>79</v>
      </c>
      <c r="F32">
        <v>0.2</v>
      </c>
      <c r="G32" s="1">
        <f t="shared" ref="G32:G33" si="2">IF(D32&lt;&gt;0,16000000/D32/(E32+1)/1000,0)</f>
        <v>25</v>
      </c>
      <c r="H32">
        <v>0.47</v>
      </c>
      <c r="I32" s="1">
        <v>121</v>
      </c>
    </row>
    <row r="33" spans="1:9">
      <c r="A33" t="s">
        <v>13</v>
      </c>
      <c r="B33">
        <v>5</v>
      </c>
      <c r="C33">
        <v>8.3000000000000007</v>
      </c>
      <c r="D33">
        <v>8</v>
      </c>
      <c r="E33">
        <v>79</v>
      </c>
      <c r="F33">
        <v>0.125</v>
      </c>
      <c r="G33" s="1">
        <f t="shared" si="2"/>
        <v>25</v>
      </c>
      <c r="H33">
        <v>2.2000000000000002</v>
      </c>
      <c r="I33" s="1">
        <v>395</v>
      </c>
    </row>
  </sheetData>
  <autoFilter ref="B10:J10" xr:uid="{0AF07D4B-28BC-B642-927A-BB51EFA5F0D4}">
    <sortState xmlns:xlrd2="http://schemas.microsoft.com/office/spreadsheetml/2017/richdata2" ref="B11:J29">
      <sortCondition ref="H10:H29"/>
    </sortState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1525-E92E-2545-927F-5414DED562C7}">
  <dimension ref="A1:M19"/>
  <sheetViews>
    <sheetView tabSelected="1" workbookViewId="0">
      <selection activeCell="I7" sqref="I7"/>
    </sheetView>
  </sheetViews>
  <sheetFormatPr baseColWidth="10" defaultRowHeight="20"/>
  <cols>
    <col min="5" max="5" width="6.7109375" customWidth="1"/>
    <col min="12" max="12" width="13" bestFit="1" customWidth="1"/>
  </cols>
  <sheetData>
    <row r="1" spans="1:13">
      <c r="G1" t="s">
        <v>41</v>
      </c>
      <c r="H1" t="s">
        <v>42</v>
      </c>
      <c r="J1" t="s">
        <v>30</v>
      </c>
    </row>
    <row r="2" spans="1:13">
      <c r="A2" t="s">
        <v>14</v>
      </c>
      <c r="C2" t="s">
        <v>32</v>
      </c>
      <c r="D2" t="s">
        <v>21</v>
      </c>
      <c r="E2" t="s">
        <v>17</v>
      </c>
      <c r="F2" t="s">
        <v>18</v>
      </c>
      <c r="G2" t="s">
        <v>31</v>
      </c>
      <c r="H2" t="s">
        <v>26</v>
      </c>
      <c r="J2" t="s">
        <v>28</v>
      </c>
      <c r="K2" t="s">
        <v>29</v>
      </c>
      <c r="L2" t="s">
        <v>43</v>
      </c>
    </row>
    <row r="3" spans="1:13">
      <c r="A3" t="s">
        <v>15</v>
      </c>
      <c r="B3" t="s">
        <v>16</v>
      </c>
      <c r="C3" t="s">
        <v>15</v>
      </c>
      <c r="D3" t="s">
        <v>22</v>
      </c>
      <c r="E3" t="s">
        <v>19</v>
      </c>
      <c r="F3" t="s">
        <v>20</v>
      </c>
      <c r="G3" t="s">
        <v>25</v>
      </c>
      <c r="H3" t="s">
        <v>27</v>
      </c>
      <c r="J3" t="s">
        <v>23</v>
      </c>
      <c r="K3" t="s">
        <v>24</v>
      </c>
    </row>
    <row r="4" spans="1:13">
      <c r="A4">
        <v>180</v>
      </c>
      <c r="B4">
        <v>5</v>
      </c>
      <c r="C4">
        <v>12</v>
      </c>
      <c r="D4">
        <v>470</v>
      </c>
      <c r="E4" s="1">
        <f>1/(40000*F4*0.000000000001)/1000</f>
        <v>53.191489361702132</v>
      </c>
      <c r="F4">
        <v>470</v>
      </c>
      <c r="G4">
        <v>0.48</v>
      </c>
      <c r="H4" s="2">
        <v>0.68</v>
      </c>
      <c r="I4" s="2"/>
      <c r="J4">
        <f>1+0.47</f>
        <v>1.47</v>
      </c>
      <c r="K4">
        <f>10+0.25</f>
        <v>10.25</v>
      </c>
      <c r="L4">
        <f t="shared" ref="L4:L5" si="0">K4*1000/(J4*1000000+K4*1000)*A4</f>
        <v>1.246411079209593</v>
      </c>
    </row>
    <row r="5" spans="1:13">
      <c r="A5">
        <v>180</v>
      </c>
      <c r="B5">
        <v>5</v>
      </c>
      <c r="C5">
        <v>12</v>
      </c>
      <c r="D5">
        <v>1000</v>
      </c>
      <c r="E5" s="1">
        <f t="shared" ref="E5:E6" si="1">1/(40000*F5*0.000000000001)/1000</f>
        <v>25.000000000000004</v>
      </c>
      <c r="F5">
        <v>1000</v>
      </c>
      <c r="G5">
        <v>0.33</v>
      </c>
      <c r="H5" s="2">
        <v>1</v>
      </c>
      <c r="I5" s="2"/>
      <c r="J5">
        <f>1+0.47</f>
        <v>1.47</v>
      </c>
      <c r="K5">
        <f>10+0.25</f>
        <v>10.25</v>
      </c>
      <c r="L5">
        <f t="shared" si="0"/>
        <v>1.246411079209593</v>
      </c>
    </row>
    <row r="6" spans="1:13">
      <c r="A6">
        <v>400</v>
      </c>
      <c r="B6">
        <v>2</v>
      </c>
      <c r="C6">
        <v>12</v>
      </c>
      <c r="D6">
        <v>2200</v>
      </c>
      <c r="E6" s="1">
        <f t="shared" si="1"/>
        <v>25.000000000000004</v>
      </c>
      <c r="F6">
        <v>1000</v>
      </c>
      <c r="G6">
        <v>0.16</v>
      </c>
      <c r="H6" s="2">
        <v>1.65</v>
      </c>
      <c r="I6" s="2" t="s">
        <v>46</v>
      </c>
      <c r="J6">
        <f>1+1+1+0.47</f>
        <v>3.4699999999999998</v>
      </c>
      <c r="K6">
        <f>10+1</f>
        <v>11</v>
      </c>
      <c r="L6">
        <f>K6*1000/(J6*1000000+K6*1000)*A6</f>
        <v>1.2640045963803506</v>
      </c>
    </row>
    <row r="7" spans="1:13">
      <c r="L7" t="s">
        <v>45</v>
      </c>
    </row>
    <row r="11" spans="1:13">
      <c r="J11" t="s">
        <v>29</v>
      </c>
      <c r="K11" t="s">
        <v>28</v>
      </c>
      <c r="L11" t="s">
        <v>44</v>
      </c>
    </row>
    <row r="12" spans="1:13">
      <c r="J12">
        <v>3.3</v>
      </c>
      <c r="K12">
        <v>3.3</v>
      </c>
      <c r="L12">
        <f>1/(1/J12+1/K12)</f>
        <v>1.65</v>
      </c>
    </row>
    <row r="13" spans="1:13">
      <c r="J13">
        <v>1</v>
      </c>
      <c r="K13">
        <v>2.2000000000000002</v>
      </c>
      <c r="L13">
        <f>1/(1/J13+1/K13)</f>
        <v>0.6875</v>
      </c>
    </row>
    <row r="14" spans="1:13">
      <c r="J14" t="s">
        <v>34</v>
      </c>
      <c r="K14" t="s">
        <v>33</v>
      </c>
      <c r="L14" t="s">
        <v>35</v>
      </c>
      <c r="M14" t="s">
        <v>40</v>
      </c>
    </row>
    <row r="15" spans="1:13">
      <c r="J15">
        <v>180</v>
      </c>
      <c r="K15">
        <v>150</v>
      </c>
      <c r="L15">
        <v>15</v>
      </c>
      <c r="M15">
        <f>(J15-K15)/(L15*1000)*1000</f>
        <v>2</v>
      </c>
    </row>
    <row r="18" spans="10:13">
      <c r="J18" t="s">
        <v>36</v>
      </c>
      <c r="K18" t="s">
        <v>38</v>
      </c>
      <c r="L18" t="s">
        <v>37</v>
      </c>
      <c r="M18" t="s">
        <v>39</v>
      </c>
    </row>
    <row r="19" spans="10:13">
      <c r="J19">
        <v>-0.3</v>
      </c>
      <c r="K19">
        <v>22</v>
      </c>
      <c r="L19">
        <f>-M15/30</f>
        <v>-6.6666666666666666E-2</v>
      </c>
      <c r="M19">
        <f>J19/K19+L19</f>
        <v>-8.0303030303030307E-2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MC34063-NJM2360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Shimozono Sin</dc:creator>
  <cp:lastModifiedBy>Shimozono Sin</cp:lastModifiedBy>
  <dcterms:created xsi:type="dcterms:W3CDTF">2026-06-20T06:47:41Z</dcterms:created>
  <dcterms:modified xsi:type="dcterms:W3CDTF">2026-08-22T06:06:41Z</dcterms:modified>
</cp:coreProperties>
</file>